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https://d.docs.live.net/a6ed9956b411c658/Documents/Data Stuff/"/>
    </mc:Choice>
  </mc:AlternateContent>
  <xr:revisionPtr revIDLastSave="51" documentId="8_{BFFE366F-AFAE-4BF8-BE38-80CC92EBD050}" xr6:coauthVersionLast="47" xr6:coauthVersionMax="47" xr10:uidLastSave="{2F5815D1-CC7D-447B-83ED-F7494FA21981}"/>
  <bookViews>
    <workbookView xWindow="-110" yWindow="-110" windowWidth="22780" windowHeight="14660" activeTab="1" xr2:uid="{00000000-000D-0000-FFFF-FFFF00000000}"/>
  </bookViews>
  <sheets>
    <sheet name="bike_buyers" sheetId="1" r:id="rId1"/>
    <sheet name="bike_buyers_copy" sheetId="2" r:id="rId2"/>
    <sheet name="Pivot Tables" sheetId="5" r:id="rId3"/>
    <sheet name="Dashboard" sheetId="3" r:id="rId4"/>
  </sheets>
  <definedNames>
    <definedName name="_xlnm._FilterDatabase" localSheetId="0" hidden="1">bike_buyers!$A$1:$M$1001</definedName>
    <definedName name="_xlnm._FilterDatabase" localSheetId="1" hidden="1">bike_buyers_copy!$A$1:$N$1001</definedName>
    <definedName name="Slicer_Education">#N/A</definedName>
    <definedName name="Slicer_Marital_Status">#N/A</definedName>
    <definedName name="Slicer_Region">#N/A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<sst xmlns="http://schemas.openxmlformats.org/spreadsheetml/2006/main" count="16267" uniqueCount="51">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</sst>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3" fontId="0" fillId="0" borderId="0" xfId="0" applyNumberFormat="1"/>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center" vertical="center"/>
    </xf>
    <xf numFmtId="0" fontId="19" fillId="33" borderId="0" xfId="0" applyFont="1" applyFill="1" applyAlignment="1">
      <alignment horizontal="center" vertical="center"/>
    </xf>
    <xf numFmtId="0" fontId="16"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_(* #,##0_);_(* \(#,##0\);_(* "-"??_);_(@_)</c:formatCode>
                <c:ptCount val="2"/>
                <c:pt idx="0">
                  <c:v>53440</c:v>
                </c:pt>
                <c:pt idx="1">
                  <c:v>56208.178438661707</c:v>
                </c:pt>
              </c:numCache>
            </c:numRef>
          </c:val>
          <c:extLst>
            <c:ext xmlns:c16="http://schemas.microsoft.com/office/drawing/2014/chart" uri="{C3380CC4-5D6E-409C-BE32-E72D297353CC}">
              <c16:uniqueId val="{00000000-D67D-4E5F-B9B7-9E100A4C3354}"/>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D67D-4E5F-B9B7-9E100A4C3354}"/>
            </c:ext>
          </c:extLst>
        </c:ser>
        <c:dLbls>
          <c:showLegendKey val="0"/>
          <c:showVal val="0"/>
          <c:showCatName val="0"/>
          <c:showSerName val="0"/>
          <c:showPercent val="0"/>
          <c:showBubbleSize val="0"/>
        </c:dLbls>
        <c:gapWidth val="219"/>
        <c:overlap val="-27"/>
        <c:axId val="191756464"/>
        <c:axId val="191759416"/>
      </c:barChart>
      <c:catAx>
        <c:axId val="191756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59416"/>
        <c:crosses val="autoZero"/>
        <c:auto val="1"/>
        <c:lblAlgn val="ctr"/>
        <c:lblOffset val="100"/>
        <c:noMultiLvlLbl val="0"/>
      </c:catAx>
      <c:valAx>
        <c:axId val="191759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564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Tables'!$B$20:$B$21</c:f>
              <c:strCache>
                <c:ptCount val="1"/>
                <c:pt idx="0">
                  <c:v>No</c:v>
                </c:pt>
              </c:strCache>
            </c:strRef>
          </c:tx>
          <c:spPr>
            <a:ln w="28575" cap="rnd">
              <a:solidFill>
                <a:schemeClr val="accent1"/>
              </a:solidFill>
              <a:round/>
            </a:ln>
            <a:effectLst/>
          </c:spPr>
          <c:marker>
            <c:symbol val="none"/>
          </c:marker>
          <c:cat>
            <c:strRef>
              <c:f>'Pivot Tables'!$A$22:$A$27</c:f>
              <c:strCache>
                <c:ptCount val="5"/>
                <c:pt idx="0">
                  <c:v>0-1 Miles</c:v>
                </c:pt>
                <c:pt idx="1">
                  <c:v>1-2 Miles</c:v>
                </c:pt>
                <c:pt idx="2">
                  <c:v>2-5 Miles</c:v>
                </c:pt>
                <c:pt idx="3">
                  <c:v>5-10 Miles</c:v>
                </c:pt>
                <c:pt idx="4">
                  <c:v>More than 10 Miles</c:v>
                </c:pt>
              </c:strCache>
            </c:strRef>
          </c:cat>
          <c:val>
            <c:numRef>
              <c:f>'Pivot Tables'!$B$22:$B$27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1E9-413C-A806-2605935474D7}"/>
            </c:ext>
          </c:extLst>
        </c:ser>
        <c:ser>
          <c:idx val="1"/>
          <c:order val="1"/>
          <c:tx>
            <c:strRef>
              <c:f>'Pivot Tables'!$C$20:$C$21</c:f>
              <c:strCache>
                <c:ptCount val="1"/>
                <c:pt idx="0">
                  <c:v>Yes</c:v>
                </c:pt>
              </c:strCache>
            </c:strRef>
          </c:tx>
          <c:spPr>
            <a:ln w="28575" cap="rnd">
              <a:solidFill>
                <a:schemeClr val="accent2"/>
              </a:solidFill>
              <a:round/>
            </a:ln>
            <a:effectLst/>
          </c:spPr>
          <c:marker>
            <c:symbol val="none"/>
          </c:marker>
          <c:cat>
            <c:strRef>
              <c:f>'Pivot Tables'!$A$22:$A$27</c:f>
              <c:strCache>
                <c:ptCount val="5"/>
                <c:pt idx="0">
                  <c:v>0-1 Miles</c:v>
                </c:pt>
                <c:pt idx="1">
                  <c:v>1-2 Miles</c:v>
                </c:pt>
                <c:pt idx="2">
                  <c:v>2-5 Miles</c:v>
                </c:pt>
                <c:pt idx="3">
                  <c:v>5-10 Miles</c:v>
                </c:pt>
                <c:pt idx="4">
                  <c:v>More than 10 Miles</c:v>
                </c:pt>
              </c:strCache>
            </c:strRef>
          </c:cat>
          <c:val>
            <c:numRef>
              <c:f>'Pivot Tables'!$C$22:$C$27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1E9-413C-A806-2605935474D7}"/>
            </c:ext>
          </c:extLst>
        </c:ser>
        <c:dLbls>
          <c:showLegendKey val="0"/>
          <c:showVal val="0"/>
          <c:showCatName val="0"/>
          <c:showSerName val="0"/>
          <c:showPercent val="0"/>
          <c:showBubbleSize val="0"/>
        </c:dLbls>
        <c:smooth val="0"/>
        <c:axId val="285980336"/>
        <c:axId val="285979680"/>
      </c:lineChart>
      <c:catAx>
        <c:axId val="285980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979680"/>
        <c:crosses val="autoZero"/>
        <c:auto val="1"/>
        <c:lblAlgn val="ctr"/>
        <c:lblOffset val="100"/>
        <c:noMultiLvlLbl val="0"/>
      </c:catAx>
      <c:valAx>
        <c:axId val="28597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980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Tables'!$A$42:$A$45</c:f>
              <c:strCache>
                <c:ptCount val="3"/>
                <c:pt idx="0">
                  <c:v>Adolescent</c:v>
                </c:pt>
                <c:pt idx="1">
                  <c:v>Middle Age</c:v>
                </c:pt>
                <c:pt idx="2">
                  <c:v>Old</c:v>
                </c:pt>
              </c:strCache>
            </c:strRef>
          </c:cat>
          <c:val>
            <c:numRef>
              <c:f>'Pivot Tables'!$B$42:$B$45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A00-466E-9A76-262B8A73D399}"/>
            </c:ext>
          </c:extLst>
        </c:ser>
        <c:ser>
          <c:idx val="1"/>
          <c:order val="1"/>
          <c:tx>
            <c:strRef>
              <c:f>'Pivot Tables'!$C$40:$C$41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Tables'!$A$42:$A$45</c:f>
              <c:strCache>
                <c:ptCount val="3"/>
                <c:pt idx="0">
                  <c:v>Adolescent</c:v>
                </c:pt>
                <c:pt idx="1">
                  <c:v>Middle Age</c:v>
                </c:pt>
                <c:pt idx="2">
                  <c:v>Old</c:v>
                </c:pt>
              </c:strCache>
            </c:strRef>
          </c:cat>
          <c:val>
            <c:numRef>
              <c:f>'Pivot Tables'!$C$42:$C$45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A00-466E-9A76-262B8A73D399}"/>
            </c:ext>
          </c:extLst>
        </c:ser>
        <c:dLbls>
          <c:showLegendKey val="0"/>
          <c:showVal val="0"/>
          <c:showCatName val="0"/>
          <c:showSerName val="0"/>
          <c:showPercent val="0"/>
          <c:showBubbleSize val="0"/>
        </c:dLbls>
        <c:marker val="1"/>
        <c:smooth val="0"/>
        <c:axId val="576806248"/>
        <c:axId val="576810184"/>
      </c:lineChart>
      <c:catAx>
        <c:axId val="576806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810184"/>
        <c:crosses val="autoZero"/>
        <c:auto val="1"/>
        <c:lblAlgn val="ctr"/>
        <c:lblOffset val="100"/>
        <c:noMultiLvlLbl val="0"/>
      </c:catAx>
      <c:valAx>
        <c:axId val="576810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806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Income For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Tables'!$A$5:$A$7</c:f>
              <c:strCache>
                <c:ptCount val="2"/>
                <c:pt idx="0">
                  <c:v>Female</c:v>
                </c:pt>
                <c:pt idx="1">
                  <c:v>Male</c:v>
                </c:pt>
              </c:strCache>
            </c:strRef>
          </c:cat>
          <c:val>
            <c:numRef>
              <c:f>'Pivot Tables'!$B$5:$B$7</c:f>
              <c:numCache>
                <c:formatCode>_(* #,##0_);_(* \(#,##0\);_(* "-"??_);_(@_)</c:formatCode>
                <c:ptCount val="2"/>
                <c:pt idx="0">
                  <c:v>53440</c:v>
                </c:pt>
                <c:pt idx="1">
                  <c:v>56208.178438661707</c:v>
                </c:pt>
              </c:numCache>
            </c:numRef>
          </c:val>
          <c:extLst>
            <c:ext xmlns:c16="http://schemas.microsoft.com/office/drawing/2014/chart" uri="{C3380CC4-5D6E-409C-BE32-E72D297353CC}">
              <c16:uniqueId val="{00000000-B03C-4A12-836E-5B0B494A0533}"/>
            </c:ext>
          </c:extLst>
        </c:ser>
        <c:ser>
          <c:idx val="1"/>
          <c:order val="1"/>
          <c:tx>
            <c:strRef>
              <c:f>'Pivot Tables'!$C$3:$C$4</c:f>
              <c:strCache>
                <c:ptCount val="1"/>
                <c:pt idx="0">
                  <c:v>Yes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Tables'!$A$5:$A$7</c:f>
              <c:strCache>
                <c:ptCount val="2"/>
                <c:pt idx="0">
                  <c:v>Female</c:v>
                </c:pt>
                <c:pt idx="1">
                  <c:v>Male</c:v>
                </c:pt>
              </c:strCache>
            </c:strRef>
          </c:cat>
          <c:val>
            <c:numRef>
              <c:f>'Pivot Tables'!$C$5:$C$7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B03C-4A12-836E-5B0B494A0533}"/>
            </c:ext>
          </c:extLst>
        </c:ser>
        <c:dLbls>
          <c:showLegendKey val="0"/>
          <c:showVal val="0"/>
          <c:showCatName val="0"/>
          <c:showSerName val="0"/>
          <c:showPercent val="0"/>
          <c:showBubbleSize val="0"/>
        </c:dLbls>
        <c:gapWidth val="100"/>
        <c:overlap val="-24"/>
        <c:axId val="191756464"/>
        <c:axId val="191759416"/>
      </c:barChart>
      <c:catAx>
        <c:axId val="19175646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59416"/>
        <c:crosses val="autoZero"/>
        <c:auto val="1"/>
        <c:lblAlgn val="ctr"/>
        <c:lblOffset val="100"/>
        <c:noMultiLvlLbl val="0"/>
      </c:catAx>
      <c:valAx>
        <c:axId val="191759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564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Tables'!$A$22:$A$27</c:f>
              <c:strCache>
                <c:ptCount val="5"/>
                <c:pt idx="0">
                  <c:v>0-1 Miles</c:v>
                </c:pt>
                <c:pt idx="1">
                  <c:v>1-2 Miles</c:v>
                </c:pt>
                <c:pt idx="2">
                  <c:v>2-5 Miles</c:v>
                </c:pt>
                <c:pt idx="3">
                  <c:v>5-10 Miles</c:v>
                </c:pt>
                <c:pt idx="4">
                  <c:v>More than 10 Miles</c:v>
                </c:pt>
              </c:strCache>
            </c:strRef>
          </c:cat>
          <c:val>
            <c:numRef>
              <c:f>'Pivot Tables'!$B$22:$B$27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75A-4674-99B0-16ED2911795F}"/>
            </c:ext>
          </c:extLst>
        </c:ser>
        <c:ser>
          <c:idx val="1"/>
          <c:order val="1"/>
          <c:tx>
            <c:strRef>
              <c:f>'Pivot Tables'!$C$20:$C$21</c:f>
              <c:strCache>
                <c:ptCount val="1"/>
                <c:pt idx="0">
                  <c:v>Yes</c:v>
                </c:pt>
              </c:strCache>
            </c:strRef>
          </c:tx>
          <c:spPr>
            <a:ln w="31750" cap="rnd">
              <a:solidFill>
                <a:schemeClr val="accent3"/>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cat>
            <c:strRef>
              <c:f>'Pivot Tables'!$A$22:$A$27</c:f>
              <c:strCache>
                <c:ptCount val="5"/>
                <c:pt idx="0">
                  <c:v>0-1 Miles</c:v>
                </c:pt>
                <c:pt idx="1">
                  <c:v>1-2 Miles</c:v>
                </c:pt>
                <c:pt idx="2">
                  <c:v>2-5 Miles</c:v>
                </c:pt>
                <c:pt idx="3">
                  <c:v>5-10 Miles</c:v>
                </c:pt>
                <c:pt idx="4">
                  <c:v>More than 10 Miles</c:v>
                </c:pt>
              </c:strCache>
            </c:strRef>
          </c:cat>
          <c:val>
            <c:numRef>
              <c:f>'Pivot Tables'!$C$22:$C$27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75A-4674-99B0-16ED2911795F}"/>
            </c:ext>
          </c:extLst>
        </c:ser>
        <c:dLbls>
          <c:showLegendKey val="0"/>
          <c:showVal val="0"/>
          <c:showCatName val="0"/>
          <c:showSerName val="0"/>
          <c:showPercent val="0"/>
          <c:showBubbleSize val="0"/>
        </c:dLbls>
        <c:marker val="1"/>
        <c:smooth val="0"/>
        <c:axId val="285980336"/>
        <c:axId val="285979680"/>
      </c:lineChart>
      <c:catAx>
        <c:axId val="2859803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85979680"/>
        <c:crosses val="autoZero"/>
        <c:auto val="1"/>
        <c:lblAlgn val="ctr"/>
        <c:lblOffset val="100"/>
        <c:noMultiLvlLbl val="0"/>
      </c:catAx>
      <c:valAx>
        <c:axId val="28597968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85980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Tables'!$B$40:$B$41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Tables'!$A$42:$A$45</c:f>
              <c:strCache>
                <c:ptCount val="3"/>
                <c:pt idx="0">
                  <c:v>Adolescent</c:v>
                </c:pt>
                <c:pt idx="1">
                  <c:v>Middle Age</c:v>
                </c:pt>
                <c:pt idx="2">
                  <c:v>Old</c:v>
                </c:pt>
              </c:strCache>
            </c:strRef>
          </c:cat>
          <c:val>
            <c:numRef>
              <c:f>'Pivot Tables'!$B$42:$B$45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310-42E2-9437-2B52B4077452}"/>
            </c:ext>
          </c:extLst>
        </c:ser>
        <c:ser>
          <c:idx val="1"/>
          <c:order val="1"/>
          <c:tx>
            <c:strRef>
              <c:f>'Pivot Tables'!$C$40:$C$41</c:f>
              <c:strCache>
                <c:ptCount val="1"/>
                <c:pt idx="0">
                  <c:v>Yes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Tables'!$A$42:$A$45</c:f>
              <c:strCache>
                <c:ptCount val="3"/>
                <c:pt idx="0">
                  <c:v>Adolescent</c:v>
                </c:pt>
                <c:pt idx="1">
                  <c:v>Middle Age</c:v>
                </c:pt>
                <c:pt idx="2">
                  <c:v>Old</c:v>
                </c:pt>
              </c:strCache>
            </c:strRef>
          </c:cat>
          <c:val>
            <c:numRef>
              <c:f>'Pivot Tables'!$C$42:$C$45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310-42E2-9437-2B52B4077452}"/>
            </c:ext>
          </c:extLst>
        </c:ser>
        <c:dLbls>
          <c:showLegendKey val="0"/>
          <c:showVal val="0"/>
          <c:showCatName val="0"/>
          <c:showSerName val="0"/>
          <c:showPercent val="0"/>
          <c:showBubbleSize val="0"/>
        </c:dLbls>
        <c:marker val="1"/>
        <c:smooth val="0"/>
        <c:axId val="576806248"/>
        <c:axId val="576810184"/>
      </c:lineChart>
      <c:catAx>
        <c:axId val="57680624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810184"/>
        <c:crosses val="autoZero"/>
        <c:auto val="1"/>
        <c:lblAlgn val="ctr"/>
        <c:lblOffset val="100"/>
        <c:noMultiLvlLbl val="0"/>
      </c:catAx>
      <c:valAx>
        <c:axId val="576810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806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12700</xdr:colOff>
      <xdr:row>0</xdr:row>
      <xdr:rowOff>12700</xdr:rowOff>
    </xdr:from>
    <xdr:to>
      <xdr:col>12</xdr:col>
      <xdr:colOff>317500</xdr:colOff>
      <xdr:row>14</xdr:row>
      <xdr:rowOff>177800</xdr:rowOff>
    </xdr:to>
    <xdr:graphicFrame macro="">
      <xdr:nvGraphicFramePr>
        <xdr:cNvPr id="2" name="Chart 1">
          <a:extLst>
            <a:ext uri="{FF2B5EF4-FFF2-40B4-BE49-F238E27FC236}">
              <a16:creationId xmlns:a16="http://schemas.microsoft.com/office/drawing/2014/main" id="{4451F464-CFC9-3825-208E-57ACAE2A51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6350</xdr:colOff>
      <xdr:row>18</xdr:row>
      <xdr:rowOff>177800</xdr:rowOff>
    </xdr:from>
    <xdr:to>
      <xdr:col>12</xdr:col>
      <xdr:colOff>311150</xdr:colOff>
      <xdr:row>33</xdr:row>
      <xdr:rowOff>158750</xdr:rowOff>
    </xdr:to>
    <xdr:graphicFrame macro="">
      <xdr:nvGraphicFramePr>
        <xdr:cNvPr id="3" name="Chart 2">
          <a:extLst>
            <a:ext uri="{FF2B5EF4-FFF2-40B4-BE49-F238E27FC236}">
              <a16:creationId xmlns:a16="http://schemas.microsoft.com/office/drawing/2014/main" id="{EA0A6A0E-F651-6DB0-07B1-3849C80894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19050</xdr:colOff>
      <xdr:row>39</xdr:row>
      <xdr:rowOff>19050</xdr:rowOff>
    </xdr:from>
    <xdr:to>
      <xdr:col>12</xdr:col>
      <xdr:colOff>323850</xdr:colOff>
      <xdr:row>54</xdr:row>
      <xdr:rowOff>0</xdr:rowOff>
    </xdr:to>
    <xdr:graphicFrame macro="">
      <xdr:nvGraphicFramePr>
        <xdr:cNvPr id="4" name="Chart 3">
          <a:extLst>
            <a:ext uri="{FF2B5EF4-FFF2-40B4-BE49-F238E27FC236}">
              <a16:creationId xmlns:a16="http://schemas.microsoft.com/office/drawing/2014/main" id="{01D9854C-023D-9D78-2AB6-F8D326098D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165100</xdr:colOff>
      <xdr:row>6</xdr:row>
      <xdr:rowOff>12700</xdr:rowOff>
    </xdr:from>
    <xdr:to>
      <xdr:col>8</xdr:col>
      <xdr:colOff>495300</xdr:colOff>
      <xdr:row>18</xdr:row>
      <xdr:rowOff>38100</xdr:rowOff>
    </xdr:to>
    <xdr:graphicFrame macro="">
      <xdr:nvGraphicFramePr>
        <xdr:cNvPr id="4" name="Chart 3">
          <a:extLst>
            <a:ext uri="{FF2B5EF4-FFF2-40B4-BE49-F238E27FC236}">
              <a16:creationId xmlns:a16="http://schemas.microsoft.com/office/drawing/2014/main" id="{C2B72EAE-8E72-4F8F-A634-CC061EAE7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165100</xdr:colOff>
      <xdr:row>18</xdr:row>
      <xdr:rowOff>38100</xdr:rowOff>
    </xdr:from>
    <xdr:to>
      <xdr:col>14</xdr:col>
      <xdr:colOff>603250</xdr:colOff>
      <xdr:row>33</xdr:row>
      <xdr:rowOff>19050</xdr:rowOff>
    </xdr:to>
    <xdr:graphicFrame macro="">
      <xdr:nvGraphicFramePr>
        <xdr:cNvPr id="5" name="Chart 4">
          <a:extLst>
            <a:ext uri="{FF2B5EF4-FFF2-40B4-BE49-F238E27FC236}">
              <a16:creationId xmlns:a16="http://schemas.microsoft.com/office/drawing/2014/main" id="{87BC50C9-C132-450F-8C39-95658B35C8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501650</xdr:colOff>
      <xdr:row>6</xdr:row>
      <xdr:rowOff>12700</xdr:rowOff>
    </xdr:from>
    <xdr:to>
      <xdr:col>15</xdr:col>
      <xdr:colOff>0</xdr:colOff>
      <xdr:row>18</xdr:row>
      <xdr:rowOff>38100</xdr:rowOff>
    </xdr:to>
    <xdr:graphicFrame macro="">
      <xdr:nvGraphicFramePr>
        <xdr:cNvPr id="7" name="Chart 6">
          <a:extLst>
            <a:ext uri="{FF2B5EF4-FFF2-40B4-BE49-F238E27FC236}">
              <a16:creationId xmlns:a16="http://schemas.microsoft.com/office/drawing/2014/main" id="{24AC587B-94BB-40D2-8C7A-058A7CE38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6350</xdr:colOff>
      <xdr:row>6</xdr:row>
      <xdr:rowOff>6350</xdr:rowOff>
    </xdr:from>
    <xdr:to>
      <xdr:col>2</xdr:col>
      <xdr:colOff>165100</xdr:colOff>
      <xdr:row>10</xdr:row>
      <xdr:rowOff>177799</xdr:rowOff>
    </xdr:to>
    <mc:AlternateContent xmlns:mc="http://schemas.openxmlformats.org/markup-compatibility/2006" xmlns:a14="http://schemas.microsoft.com/office/drawing/2010/main">
      <mc:Choice Requires="a14">
        <xdr:graphicFrame macro="">
          <xdr:nvGraphicFramePr>
            <xdr:cNvPr id="8" name="Marital Status">
              <a:extLst>
                <a:ext uri="{FF2B5EF4-FFF2-40B4-BE49-F238E27FC236}">
                  <a16:creationId xmlns:a16="http://schemas.microsoft.com/office/drawing/2014/main" id="{5809129E-4588-D841-F9F6-9539C925389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6350" y="1111250"/>
              <a:ext cx="1377950" cy="908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101601</xdr:rowOff>
    </xdr:from>
    <xdr:to>
      <xdr:col>2</xdr:col>
      <xdr:colOff>171450</xdr:colOff>
      <xdr:row>26</xdr:row>
      <xdr:rowOff>177801</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B7472B13-5788-B87A-9411-A5D2774DBDD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232151"/>
              <a:ext cx="1390650" cy="1733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xdr:rowOff>
    </xdr:from>
    <xdr:to>
      <xdr:col>2</xdr:col>
      <xdr:colOff>171450</xdr:colOff>
      <xdr:row>17</xdr:row>
      <xdr:rowOff>88900</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D9393EA4-43EF-25FB-1653-E7F188742BC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25651"/>
              <a:ext cx="1390650" cy="1193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essa Morales" refreshedDate="44790.634117361114" createdVersion="8" refreshedVersion="8" minRefreshableVersion="3" recordCount="1000" xr:uid="{EDC87445-4CF8-4772-801C-895033F4424D}">
  <cacheSource type="worksheet">
    <worksheetSource ref="A1:N1001" sheet="bike_buyers_copy"/>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3">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6988443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9B905F-E3E9-4D72-A105-7B556C0BA289}"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D27" firstHeaderRow="1" firstDataRow="2" firstDataCol="1"/>
  <pivotFields count="14">
    <pivotField showAll="0"/>
    <pivotField showAll="0">
      <items count="3">
        <item x="0"/>
        <item x="1"/>
        <item t="default"/>
      </items>
    </pivotField>
    <pivotField showAll="0"/>
    <pivotField numFmtId="3"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D0230E-6C6D-4CA9-A3EC-2628AA2BAD0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3"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B7DE95-7175-4E2C-AC6A-ECA95A4FC294}"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0:D45" firstHeaderRow="1" firstDataRow="2" firstDataCol="1"/>
  <pivotFields count="14">
    <pivotField showAll="0"/>
    <pivotField showAll="0">
      <items count="3">
        <item x="0"/>
        <item x="1"/>
        <item t="default"/>
      </items>
    </pivotField>
    <pivotField showAll="0"/>
    <pivotField numFmtId="3"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121851B-693A-4745-8BEA-76736D194D25}" sourceName="Marital Status">
  <pivotTables>
    <pivotTable tabId="5" name="PivotTable1"/>
    <pivotTable tabId="5" name="PivotTable3"/>
    <pivotTable tabId="5" name="PivotTable4"/>
  </pivotTables>
  <data>
    <tabular pivotCacheId="69884432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EC75472-38DB-489A-8D97-6B6246674C4E}" sourceName="Education">
  <pivotTables>
    <pivotTable tabId="5" name="PivotTable1"/>
    <pivotTable tabId="5" name="PivotTable3"/>
    <pivotTable tabId="5" name="PivotTable4"/>
  </pivotTables>
  <data>
    <tabular pivotCacheId="69884432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7F8557A-675F-4BBA-B684-FA9AC9163EF2}" sourceName="Region">
  <pivotTables>
    <pivotTable tabId="5" name="PivotTable1"/>
    <pivotTable tabId="5" name="PivotTable3"/>
    <pivotTable tabId="5" name="PivotTable4"/>
  </pivotTables>
  <data>
    <tabular pivotCacheId="69884432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398806A-CF19-4512-A7EB-FE84DB8E4FE7}" cache="Slicer_Marital_Status" caption="Marital Status" rowHeight="241300"/>
  <slicer name="Education" xr10:uid="{87F45F9B-8752-4357-B3F0-D6702B5323BF}" cache="Slicer_Education" caption="Education" rowHeight="241300"/>
  <slicer name="Region" xr10:uid="{FAE55899-9E8A-476F-A263-D472DAFFBC62}"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11" sqref="N11"/>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0190D-4DCF-4D32-867C-D29CD65C4B5E}">
  <dimension ref="A1:N1001"/>
  <sheetViews>
    <sheetView tabSelected="1" workbookViewId="0">
      <selection activeCell="O4" sqref="O4"/>
    </sheetView>
  </sheetViews>
  <sheetFormatPr defaultRowHeight="14.5" x14ac:dyDescent="0.35"/>
  <cols>
    <col min="1" max="1" width="5.81640625" bestFit="1" customWidth="1"/>
    <col min="2" max="2" width="23.81640625" bestFit="1" customWidth="1"/>
    <col min="3" max="3" width="9.26953125" bestFit="1" customWidth="1"/>
    <col min="4" max="4" width="9.26953125" style="3" bestFit="1" customWidth="1"/>
    <col min="5" max="5" width="10.08984375" bestFit="1" customWidth="1"/>
    <col min="6" max="6" width="16.26953125" bestFit="1" customWidth="1"/>
    <col min="7" max="7" width="13" bestFit="1" customWidth="1"/>
    <col min="8" max="8" width="14.1796875" bestFit="1" customWidth="1"/>
    <col min="9" max="9" width="6.7265625" bestFit="1" customWidth="1"/>
    <col min="10" max="10" width="18.90625" bestFit="1" customWidth="1"/>
    <col min="11" max="11" width="13" bestFit="1" customWidth="1"/>
    <col min="12" max="12" width="6.1796875" bestFit="1" customWidth="1"/>
    <col min="13" max="13" width="13.6328125" bestFit="1" customWidth="1"/>
    <col min="14" max="14" width="15.7265625" bestFit="1"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2A00190D-4DCF-4D32-867C-D29CD65C4B5E}"/>
  <pageMargins left="0.7" right="0.7" top="0.75" bottom="0.75" header="0.3" footer="0.3"/>
  <pageSetup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B93DD-6809-4DA5-B11E-A47F3C2112D4}">
  <dimension ref="A3:D45"/>
  <sheetViews>
    <sheetView workbookViewId="0">
      <selection activeCell="B6" sqref="B6"/>
    </sheetView>
  </sheetViews>
  <sheetFormatPr defaultRowHeight="14.5" x14ac:dyDescent="0.35"/>
  <cols>
    <col min="1" max="1" width="16.453125" bestFit="1" customWidth="1"/>
    <col min="2" max="2" width="15.26953125" bestFit="1" customWidth="1"/>
    <col min="3" max="3" width="7.6328125" bestFit="1" customWidth="1"/>
    <col min="4" max="4" width="10.7265625" bestFit="1" customWidth="1"/>
  </cols>
  <sheetData>
    <row r="3" spans="1:4" x14ac:dyDescent="0.35">
      <c r="A3" s="5" t="s">
        <v>43</v>
      </c>
      <c r="B3" s="5" t="s">
        <v>44</v>
      </c>
    </row>
    <row r="4" spans="1:4" x14ac:dyDescent="0.35">
      <c r="A4" s="5" t="s">
        <v>41</v>
      </c>
      <c r="B4" t="s">
        <v>18</v>
      </c>
      <c r="C4" t="s">
        <v>15</v>
      </c>
      <c r="D4" t="s">
        <v>42</v>
      </c>
    </row>
    <row r="5" spans="1:4" x14ac:dyDescent="0.35">
      <c r="A5" s="6" t="s">
        <v>39</v>
      </c>
      <c r="B5" s="7">
        <v>53440</v>
      </c>
      <c r="C5" s="7">
        <v>55774.058577405856</v>
      </c>
      <c r="D5" s="7">
        <v>54580.777096114522</v>
      </c>
    </row>
    <row r="6" spans="1:4" x14ac:dyDescent="0.35">
      <c r="A6" s="6" t="s">
        <v>38</v>
      </c>
      <c r="B6" s="7">
        <v>56208.178438661707</v>
      </c>
      <c r="C6" s="7">
        <v>60123.966942148763</v>
      </c>
      <c r="D6" s="7">
        <v>58062.62230919765</v>
      </c>
    </row>
    <row r="7" spans="1:4" x14ac:dyDescent="0.35">
      <c r="A7" s="6" t="s">
        <v>42</v>
      </c>
      <c r="B7" s="7">
        <v>54874.759152215796</v>
      </c>
      <c r="C7" s="7">
        <v>57962.577962577961</v>
      </c>
      <c r="D7" s="7">
        <v>56360</v>
      </c>
    </row>
    <row r="20" spans="1:4" x14ac:dyDescent="0.35">
      <c r="A20" s="5" t="s">
        <v>45</v>
      </c>
      <c r="B20" s="5" t="s">
        <v>44</v>
      </c>
    </row>
    <row r="21" spans="1:4" x14ac:dyDescent="0.35">
      <c r="A21" s="5" t="s">
        <v>41</v>
      </c>
      <c r="B21" t="s">
        <v>18</v>
      </c>
      <c r="C21" t="s">
        <v>15</v>
      </c>
      <c r="D21" t="s">
        <v>42</v>
      </c>
    </row>
    <row r="22" spans="1:4" x14ac:dyDescent="0.35">
      <c r="A22" s="6" t="s">
        <v>16</v>
      </c>
      <c r="B22" s="4">
        <v>166</v>
      </c>
      <c r="C22" s="4">
        <v>200</v>
      </c>
      <c r="D22" s="4">
        <v>366</v>
      </c>
    </row>
    <row r="23" spans="1:4" x14ac:dyDescent="0.35">
      <c r="A23" s="6" t="s">
        <v>26</v>
      </c>
      <c r="B23" s="4">
        <v>92</v>
      </c>
      <c r="C23" s="4">
        <v>77</v>
      </c>
      <c r="D23" s="4">
        <v>169</v>
      </c>
    </row>
    <row r="24" spans="1:4" x14ac:dyDescent="0.35">
      <c r="A24" s="6" t="s">
        <v>22</v>
      </c>
      <c r="B24" s="4">
        <v>67</v>
      </c>
      <c r="C24" s="4">
        <v>95</v>
      </c>
      <c r="D24" s="4">
        <v>162</v>
      </c>
    </row>
    <row r="25" spans="1:4" x14ac:dyDescent="0.35">
      <c r="A25" s="6" t="s">
        <v>23</v>
      </c>
      <c r="B25" s="4">
        <v>116</v>
      </c>
      <c r="C25" s="4">
        <v>76</v>
      </c>
      <c r="D25" s="4">
        <v>192</v>
      </c>
    </row>
    <row r="26" spans="1:4" x14ac:dyDescent="0.35">
      <c r="A26" s="6" t="s">
        <v>46</v>
      </c>
      <c r="B26" s="4">
        <v>78</v>
      </c>
      <c r="C26" s="4">
        <v>33</v>
      </c>
      <c r="D26" s="4">
        <v>111</v>
      </c>
    </row>
    <row r="27" spans="1:4" x14ac:dyDescent="0.35">
      <c r="A27" s="6" t="s">
        <v>42</v>
      </c>
      <c r="B27" s="4">
        <v>519</v>
      </c>
      <c r="C27" s="4">
        <v>481</v>
      </c>
      <c r="D27" s="4">
        <v>1000</v>
      </c>
    </row>
    <row r="40" spans="1:4" x14ac:dyDescent="0.35">
      <c r="A40" s="5" t="s">
        <v>45</v>
      </c>
      <c r="B40" s="5" t="s">
        <v>44</v>
      </c>
    </row>
    <row r="41" spans="1:4" x14ac:dyDescent="0.35">
      <c r="A41" s="5" t="s">
        <v>41</v>
      </c>
      <c r="B41" t="s">
        <v>18</v>
      </c>
      <c r="C41" t="s">
        <v>15</v>
      </c>
      <c r="D41" t="s">
        <v>42</v>
      </c>
    </row>
    <row r="42" spans="1:4" x14ac:dyDescent="0.35">
      <c r="A42" s="6" t="s">
        <v>47</v>
      </c>
      <c r="B42" s="4">
        <v>71</v>
      </c>
      <c r="C42" s="4">
        <v>39</v>
      </c>
      <c r="D42" s="4">
        <v>110</v>
      </c>
    </row>
    <row r="43" spans="1:4" x14ac:dyDescent="0.35">
      <c r="A43" s="6" t="s">
        <v>48</v>
      </c>
      <c r="B43" s="4">
        <v>318</v>
      </c>
      <c r="C43" s="4">
        <v>383</v>
      </c>
      <c r="D43" s="4">
        <v>701</v>
      </c>
    </row>
    <row r="44" spans="1:4" x14ac:dyDescent="0.35">
      <c r="A44" s="6" t="s">
        <v>49</v>
      </c>
      <c r="B44" s="4">
        <v>130</v>
      </c>
      <c r="C44" s="4">
        <v>59</v>
      </c>
      <c r="D44" s="4">
        <v>189</v>
      </c>
    </row>
    <row r="45" spans="1:4" x14ac:dyDescent="0.35">
      <c r="A45" s="6" t="s">
        <v>42</v>
      </c>
      <c r="B45" s="4">
        <v>519</v>
      </c>
      <c r="C45" s="4">
        <v>481</v>
      </c>
      <c r="D45"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8CAD1-C314-43BF-8B4C-7C6C90C9C4BC}">
  <dimension ref="A1:O10"/>
  <sheetViews>
    <sheetView showGridLines="0" workbookViewId="0">
      <selection activeCell="Q19" sqref="Q19"/>
    </sheetView>
  </sheetViews>
  <sheetFormatPr defaultRowHeight="14.5" x14ac:dyDescent="0.35"/>
  <sheetData>
    <row r="1" spans="1:15" x14ac:dyDescent="0.35">
      <c r="A1" s="9" t="s">
        <v>50</v>
      </c>
      <c r="B1" s="10"/>
      <c r="C1" s="10"/>
      <c r="D1" s="10"/>
      <c r="E1" s="10"/>
      <c r="F1" s="10"/>
      <c r="G1" s="10"/>
      <c r="H1" s="10"/>
      <c r="I1" s="10"/>
      <c r="J1" s="10"/>
      <c r="K1" s="10"/>
      <c r="L1" s="10"/>
      <c r="M1" s="10"/>
      <c r="N1" s="10"/>
      <c r="O1" s="10"/>
    </row>
    <row r="2" spans="1:15" x14ac:dyDescent="0.35">
      <c r="A2" s="10"/>
      <c r="B2" s="10"/>
      <c r="C2" s="10"/>
      <c r="D2" s="10"/>
      <c r="E2" s="10"/>
      <c r="F2" s="10"/>
      <c r="G2" s="10"/>
      <c r="H2" s="10"/>
      <c r="I2" s="10"/>
      <c r="J2" s="10"/>
      <c r="K2" s="10"/>
      <c r="L2" s="10"/>
      <c r="M2" s="10"/>
      <c r="N2" s="10"/>
      <c r="O2" s="10"/>
    </row>
    <row r="3" spans="1:15" x14ac:dyDescent="0.35">
      <c r="A3" s="10"/>
      <c r="B3" s="10"/>
      <c r="C3" s="10"/>
      <c r="D3" s="10"/>
      <c r="E3" s="10"/>
      <c r="F3" s="10"/>
      <c r="G3" s="10"/>
      <c r="H3" s="10"/>
      <c r="I3" s="10"/>
      <c r="J3" s="10"/>
      <c r="K3" s="10"/>
      <c r="L3" s="10"/>
      <c r="M3" s="10"/>
      <c r="N3" s="10"/>
      <c r="O3" s="10"/>
    </row>
    <row r="4" spans="1:15" x14ac:dyDescent="0.35">
      <c r="A4" s="10"/>
      <c r="B4" s="10"/>
      <c r="C4" s="10"/>
      <c r="D4" s="10"/>
      <c r="E4" s="10"/>
      <c r="F4" s="10"/>
      <c r="G4" s="10"/>
      <c r="H4" s="10"/>
      <c r="I4" s="10"/>
      <c r="J4" s="10"/>
      <c r="K4" s="10"/>
      <c r="L4" s="10"/>
      <c r="M4" s="10"/>
      <c r="N4" s="10"/>
      <c r="O4" s="10"/>
    </row>
    <row r="5" spans="1:15" x14ac:dyDescent="0.35">
      <c r="A5" s="10"/>
      <c r="B5" s="10"/>
      <c r="C5" s="10"/>
      <c r="D5" s="10"/>
      <c r="E5" s="10"/>
      <c r="F5" s="10"/>
      <c r="G5" s="10"/>
      <c r="H5" s="10"/>
      <c r="I5" s="10"/>
      <c r="J5" s="10"/>
      <c r="K5" s="10"/>
      <c r="L5" s="10"/>
      <c r="M5" s="10"/>
      <c r="N5" s="10"/>
      <c r="O5" s="10"/>
    </row>
    <row r="6" spans="1:15" x14ac:dyDescent="0.35">
      <c r="A6" s="10"/>
      <c r="B6" s="10"/>
      <c r="C6" s="10"/>
      <c r="D6" s="10"/>
      <c r="E6" s="10"/>
      <c r="F6" s="10"/>
      <c r="G6" s="10"/>
      <c r="H6" s="10"/>
      <c r="I6" s="10"/>
      <c r="J6" s="10"/>
      <c r="K6" s="10"/>
      <c r="L6" s="10"/>
      <c r="M6" s="10"/>
      <c r="N6" s="10"/>
      <c r="O6" s="10"/>
    </row>
    <row r="10" spans="1:15" x14ac:dyDescent="0.35">
      <c r="L10"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bike_buyers_copy</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Janessa Morales</cp:lastModifiedBy>
  <dcterms:created xsi:type="dcterms:W3CDTF">2022-03-18T02:50:57Z</dcterms:created>
  <dcterms:modified xsi:type="dcterms:W3CDTF">2022-08-19T22:28:20Z</dcterms:modified>
</cp:coreProperties>
</file>